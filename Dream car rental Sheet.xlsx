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0B57019-56A5-45CB-87B4-E5D0DACC6BF0}" xr6:coauthVersionLast="47" xr6:coauthVersionMax="47" xr10:uidLastSave="{00000000-0000-0000-0000-000000000000}"/>
  <bookViews>
    <workbookView xWindow="-110" yWindow="-110" windowWidth="19420" windowHeight="10420" activeTab="2" xr2:uid="{58DA4724-ED87-4452-8546-BAB005C7E75E}"/>
  </bookViews>
  <sheets>
    <sheet name="Raw data" sheetId="1" r:id="rId1"/>
    <sheet name="Calculations" sheetId="2" r:id="rId2"/>
    <sheet name="Summary 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2" l="1"/>
  <c r="E30" i="2"/>
  <c r="E29" i="2"/>
  <c r="E28" i="2"/>
  <c r="E27" i="2"/>
  <c r="E26" i="2"/>
  <c r="F2" i="2" a="1"/>
  <c r="F2" i="2" s="1"/>
  <c r="E4" i="3" s="1"/>
  <c r="E2" i="2"/>
  <c r="B2" i="3" s="1"/>
  <c r="E3" i="2"/>
  <c r="E4" i="2"/>
  <c r="E5" i="2"/>
  <c r="E6" i="2"/>
  <c r="E7" i="2"/>
  <c r="E8" i="2"/>
  <c r="E9" i="2"/>
  <c r="E10" i="2"/>
  <c r="B3" i="3" s="1"/>
  <c r="E11" i="2"/>
  <c r="E12" i="2"/>
  <c r="B4" i="3" s="1"/>
  <c r="E13" i="2"/>
  <c r="E14" i="2"/>
  <c r="E15" i="2"/>
  <c r="E16" i="2"/>
  <c r="E17" i="2"/>
  <c r="E18" i="2"/>
  <c r="E19" i="2"/>
  <c r="E20" i="2"/>
  <c r="E21" i="2"/>
  <c r="B6" i="3" s="1"/>
  <c r="E22" i="2"/>
  <c r="E23" i="2"/>
  <c r="E24" i="2"/>
  <c r="E25" i="2"/>
  <c r="B5" i="3" l="1"/>
  <c r="J6" i="2"/>
  <c r="E3" i="3"/>
  <c r="J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<sst xmlns="http://schemas.openxmlformats.org/spreadsheetml/2006/main" count="172" uniqueCount="63">
  <si>
    <t>Car ID</t>
  </si>
  <si>
    <t>Brand</t>
  </si>
  <si>
    <t>Model</t>
  </si>
  <si>
    <t>Status</t>
  </si>
  <si>
    <t>Toyota</t>
  </si>
  <si>
    <t>Yaris</t>
  </si>
  <si>
    <t>Fortuner</t>
  </si>
  <si>
    <t>Vigo Champ</t>
  </si>
  <si>
    <t>Corola</t>
  </si>
  <si>
    <t>Prado</t>
  </si>
  <si>
    <t>Land Crusier</t>
  </si>
  <si>
    <t>Booked</t>
  </si>
  <si>
    <t>Daily Rent (PKR)</t>
  </si>
  <si>
    <t>Hyundai</t>
  </si>
  <si>
    <t>Elentra</t>
  </si>
  <si>
    <t xml:space="preserve">Sonata </t>
  </si>
  <si>
    <t>Tucson</t>
  </si>
  <si>
    <t>Palisade</t>
  </si>
  <si>
    <t>Suzuki</t>
  </si>
  <si>
    <t>Mehran</t>
  </si>
  <si>
    <t>Alto</t>
  </si>
  <si>
    <t>Swift</t>
  </si>
  <si>
    <t>Wagon R</t>
  </si>
  <si>
    <t>M5</t>
  </si>
  <si>
    <t>BMW</t>
  </si>
  <si>
    <t>M3</t>
  </si>
  <si>
    <t>X1</t>
  </si>
  <si>
    <t>X5</t>
  </si>
  <si>
    <t>X7</t>
  </si>
  <si>
    <t>Audi</t>
  </si>
  <si>
    <t>A5</t>
  </si>
  <si>
    <t>A4</t>
  </si>
  <si>
    <t>A3</t>
  </si>
  <si>
    <t xml:space="preserve">Q5 </t>
  </si>
  <si>
    <t>Q7</t>
  </si>
  <si>
    <t xml:space="preserve">Honda </t>
  </si>
  <si>
    <t>Civic</t>
  </si>
  <si>
    <t>City</t>
  </si>
  <si>
    <t>BR-V</t>
  </si>
  <si>
    <t>HR-V</t>
  </si>
  <si>
    <t>Accord</t>
  </si>
  <si>
    <t>Days Rented</t>
  </si>
  <si>
    <t>Daily Rent</t>
  </si>
  <si>
    <t>Monthly Income</t>
  </si>
  <si>
    <t>Corolla</t>
  </si>
  <si>
    <t>Land Cruiser</t>
  </si>
  <si>
    <t>Elantra</t>
  </si>
  <si>
    <t>Sonata</t>
  </si>
  <si>
    <t>Q5</t>
  </si>
  <si>
    <t>Total monthly income=</t>
  </si>
  <si>
    <t>Average monthly income=</t>
  </si>
  <si>
    <t>Available</t>
  </si>
  <si>
    <t>Luxury cars=</t>
  </si>
  <si>
    <t>Category</t>
  </si>
  <si>
    <t>Total Monthly Income</t>
  </si>
  <si>
    <t xml:space="preserve">Toyata </t>
  </si>
  <si>
    <t>Bmw</t>
  </si>
  <si>
    <t>Honda</t>
  </si>
  <si>
    <t>Category Summary</t>
  </si>
  <si>
    <t xml:space="preserve">Category </t>
  </si>
  <si>
    <t>Total cars</t>
  </si>
  <si>
    <t>Luxury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</si>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</sst>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top"/>
    </xf>
    <xf numFmtId="3" fontId="1" fillId="0" borderId="0" xfId="0" applyNumberFormat="1" applyFont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Cars per Category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'Summary Dashboard'!$E$2</c:f>
              <c:strCache>
                <c:ptCount val="1"/>
                <c:pt idx="0">
                  <c:v>Total cars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2FE-4E63-A640-79F7C10EA95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2FE-4E63-A640-79F7C10EA952}"/>
              </c:ext>
            </c:extLst>
          </c:dPt>
          <c:cat>
            <c:strRef>
              <c:f>'Summary Dashboard'!$D$3:$D$4</c:f>
              <c:strCache>
                <c:ptCount val="2"/>
                <c:pt idx="0">
                  <c:v>Luxury</c:v>
                </c:pt>
                <c:pt idx="1">
                  <c:v>Normal</c:v>
                </c:pt>
              </c:strCache>
            </c:strRef>
          </c:cat>
          <c:val>
            <c:numRef>
              <c:f>'Summary Dashboard'!$E$3:$E$4</c:f>
              <c:numCache>
                <c:formatCode>General</c:formatCode>
                <c:ptCount val="2"/>
                <c:pt idx="0">
                  <c:v>21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D-4CC6-BC22-43DD5E144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Total Monthly Income by Brand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'Summary Dashboard'!$B$1</c:f>
              <c:strCache>
                <c:ptCount val="1"/>
                <c:pt idx="0">
                  <c:v>Total Monthly Income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'Summary Dashboard'!$A$2:$A$7</c:f>
              <c:strCache>
                <c:ptCount val="6"/>
                <c:pt idx="0">
                  <c:v>Toyata </c:v>
                </c:pt>
                <c:pt idx="1">
                  <c:v>Hyundai</c:v>
                </c:pt>
                <c:pt idx="2">
                  <c:v>Suzuki</c:v>
                </c:pt>
                <c:pt idx="3">
                  <c:v>Bmw</c:v>
                </c:pt>
                <c:pt idx="4">
                  <c:v>Audi</c:v>
                </c:pt>
                <c:pt idx="5">
                  <c:v>Honda</c:v>
                </c:pt>
              </c:strCache>
            </c:strRef>
          </c:cat>
          <c:val>
            <c:numRef>
              <c:f>'Summary Dashboard'!$B$2:$B$7</c:f>
              <c:numCache>
                <c:formatCode>General</c:formatCode>
                <c:ptCount val="6"/>
                <c:pt idx="0">
                  <c:v>1634000</c:v>
                </c:pt>
                <c:pt idx="1">
                  <c:v>813000</c:v>
                </c:pt>
                <c:pt idx="2">
                  <c:v>328500</c:v>
                </c:pt>
                <c:pt idx="3">
                  <c:v>1635000</c:v>
                </c:pt>
                <c:pt idx="4">
                  <c:v>1465000</c:v>
                </c:pt>
                <c:pt idx="5">
                  <c:v>346000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3-4937-B021-DDBEF752E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50046735"/>
        <c:axId val="1550071215"/>
        <c:axId val="0"/>
      </c:bar3DChart>
      <c:catAx>
        <c:axId val="155004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50071215"/>
        <c:crosses val="autoZero"/>
        <c:auto val="1"/>
        <c:lblAlgn val="ctr"/>
        <c:lblOffset val="100"/>
        <c:noMultiLvlLbl val="0"/>
      </c:catAx>
      <c:valAx>
        <c:axId val="155007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5004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498475</xdr:colOff>
      <xdr:row>7</xdr:row>
      <xdr:rowOff>177799</xdr:rowOff>
    </xdr:from>
    <xdr:to>
      <xdr:col>9</xdr:col>
      <xdr:colOff>431800</xdr:colOff>
      <xdr:row>18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8EA4FD-A54B-43B9-AD91-5C26BE0B9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8</xdr:row>
      <xdr:rowOff>31750</xdr:rowOff>
    </xdr:from>
    <xdr:to>
      <xdr:col>3</xdr:col>
      <xdr:colOff>412751</xdr:colOff>
      <xdr:row>19</xdr:row>
      <xdr:rowOff>98424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AF1948-9315-5E99-8ACC-6128C741F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0345-AE7E-46B8-85D2-2B8F1D354C6D}">
  <dimension ref="A1:E30"/>
  <sheetViews>
    <sheetView zoomScale="122" workbookViewId="0">
      <selection activeCell="E32" sqref="E32"/>
    </sheetView>
  </sheetViews>
  <sheetFormatPr defaultRowHeight="14.5" x14ac:dyDescent="0.35"/>
  <cols>
    <col min="3" max="3" width="11.26953125" customWidth="1"/>
    <col min="4" max="4" width="16.26953125" customWidth="1"/>
  </cols>
  <sheetData>
    <row r="1" spans="1:5" ht="15" x14ac:dyDescent="0.35">
      <c r="A1" s="3" t="s">
        <v>0</v>
      </c>
      <c r="B1" s="3" t="s">
        <v>1</v>
      </c>
      <c r="C1" s="3" t="s">
        <v>2</v>
      </c>
      <c r="D1" s="3" t="s">
        <v>12</v>
      </c>
      <c r="E1" s="6" t="s">
        <v>3</v>
      </c>
    </row>
    <row r="2" spans="1:5" x14ac:dyDescent="0.35">
      <c r="A2" s="1">
        <v>1</v>
      </c>
      <c r="B2" s="1" t="s">
        <v>4</v>
      </c>
      <c r="C2" s="1" t="s">
        <v>5</v>
      </c>
      <c r="D2" s="2">
        <v>8000</v>
      </c>
      <c r="E2" s="7" t="s">
        <v>51</v>
      </c>
    </row>
    <row r="3" spans="1:5" x14ac:dyDescent="0.35">
      <c r="A3" s="1">
        <v>2</v>
      </c>
      <c r="B3" s="1" t="s">
        <v>4</v>
      </c>
      <c r="C3" s="1" t="s">
        <v>6</v>
      </c>
      <c r="D3" s="1">
        <v>25000</v>
      </c>
      <c r="E3" s="7" t="s">
        <v>51</v>
      </c>
    </row>
    <row r="4" spans="1:5" x14ac:dyDescent="0.35">
      <c r="A4" s="1">
        <v>3</v>
      </c>
      <c r="B4" s="1" t="s">
        <v>4</v>
      </c>
      <c r="C4" s="1" t="s">
        <v>7</v>
      </c>
      <c r="D4" s="1">
        <v>18000</v>
      </c>
      <c r="E4" s="7" t="s">
        <v>51</v>
      </c>
    </row>
    <row r="5" spans="1:5" x14ac:dyDescent="0.35">
      <c r="A5" s="1">
        <v>4</v>
      </c>
      <c r="B5" s="1" t="s">
        <v>4</v>
      </c>
      <c r="C5" s="1" t="s">
        <v>8</v>
      </c>
      <c r="D5" s="2">
        <v>10000</v>
      </c>
      <c r="E5" s="7" t="s">
        <v>51</v>
      </c>
    </row>
    <row r="6" spans="1:5" x14ac:dyDescent="0.35">
      <c r="A6" s="1">
        <v>5</v>
      </c>
      <c r="B6" s="1" t="s">
        <v>4</v>
      </c>
      <c r="C6" s="1" t="s">
        <v>9</v>
      </c>
      <c r="D6" s="1">
        <v>40000</v>
      </c>
      <c r="E6" s="7" t="s">
        <v>51</v>
      </c>
    </row>
    <row r="7" spans="1:5" x14ac:dyDescent="0.35">
      <c r="A7" s="1">
        <v>6</v>
      </c>
      <c r="B7" s="1" t="s">
        <v>4</v>
      </c>
      <c r="C7" s="1" t="s">
        <v>10</v>
      </c>
      <c r="D7" s="1">
        <v>60000</v>
      </c>
      <c r="E7" s="7" t="s">
        <v>11</v>
      </c>
    </row>
    <row r="8" spans="1:5" x14ac:dyDescent="0.35">
      <c r="A8" s="4">
        <v>7</v>
      </c>
      <c r="B8" s="1" t="s">
        <v>13</v>
      </c>
      <c r="C8" s="1" t="s">
        <v>14</v>
      </c>
      <c r="D8" s="1">
        <v>10000</v>
      </c>
      <c r="E8" s="7" t="s">
        <v>51</v>
      </c>
    </row>
    <row r="9" spans="1:5" x14ac:dyDescent="0.35">
      <c r="A9" s="5">
        <v>8</v>
      </c>
      <c r="B9" s="1" t="s">
        <v>13</v>
      </c>
      <c r="C9" s="1" t="s">
        <v>15</v>
      </c>
      <c r="D9" s="1">
        <v>160000</v>
      </c>
      <c r="E9" s="7" t="s">
        <v>51</v>
      </c>
    </row>
    <row r="10" spans="1:5" x14ac:dyDescent="0.35">
      <c r="A10" s="5">
        <v>9</v>
      </c>
      <c r="B10" s="1" t="s">
        <v>13</v>
      </c>
      <c r="C10" s="1" t="s">
        <v>16</v>
      </c>
      <c r="D10" s="1">
        <v>180000</v>
      </c>
      <c r="E10" s="7" t="s">
        <v>51</v>
      </c>
    </row>
    <row r="11" spans="1:5" x14ac:dyDescent="0.35">
      <c r="A11" s="5">
        <v>10</v>
      </c>
      <c r="B11" s="1" t="s">
        <v>13</v>
      </c>
      <c r="C11" s="1" t="s">
        <v>17</v>
      </c>
      <c r="D11" s="1">
        <v>45000</v>
      </c>
      <c r="E11" s="7" t="s">
        <v>51</v>
      </c>
    </row>
    <row r="12" spans="1:5" x14ac:dyDescent="0.35">
      <c r="A12" s="5">
        <v>11</v>
      </c>
      <c r="B12" s="1" t="s">
        <v>18</v>
      </c>
      <c r="C12" s="1" t="s">
        <v>19</v>
      </c>
      <c r="D12" s="1">
        <v>3000</v>
      </c>
      <c r="E12" s="7" t="s">
        <v>11</v>
      </c>
    </row>
    <row r="13" spans="1:5" x14ac:dyDescent="0.35">
      <c r="A13" s="5">
        <v>12</v>
      </c>
      <c r="B13" s="1" t="s">
        <v>18</v>
      </c>
      <c r="C13" s="1" t="s">
        <v>20</v>
      </c>
      <c r="D13" s="1">
        <v>4500</v>
      </c>
      <c r="E13" s="7" t="s">
        <v>51</v>
      </c>
    </row>
    <row r="14" spans="1:5" x14ac:dyDescent="0.35">
      <c r="A14" s="5">
        <v>13</v>
      </c>
      <c r="B14" s="1" t="s">
        <v>18</v>
      </c>
      <c r="C14" s="1" t="s">
        <v>21</v>
      </c>
      <c r="D14" s="1">
        <v>7500</v>
      </c>
      <c r="E14" s="7" t="s">
        <v>51</v>
      </c>
    </row>
    <row r="15" spans="1:5" x14ac:dyDescent="0.35">
      <c r="A15" s="5">
        <v>14</v>
      </c>
      <c r="B15" s="1" t="s">
        <v>18</v>
      </c>
      <c r="C15" s="1" t="s">
        <v>22</v>
      </c>
      <c r="D15" s="1">
        <v>5500</v>
      </c>
      <c r="E15" s="7" t="s">
        <v>11</v>
      </c>
    </row>
    <row r="16" spans="1:5" x14ac:dyDescent="0.35">
      <c r="A16" s="5">
        <v>15</v>
      </c>
      <c r="B16" s="1" t="s">
        <v>24</v>
      </c>
      <c r="C16" s="1" t="s">
        <v>23</v>
      </c>
      <c r="D16" s="1">
        <v>85000</v>
      </c>
      <c r="E16" s="7" t="s">
        <v>51</v>
      </c>
    </row>
    <row r="17" spans="1:5" x14ac:dyDescent="0.35">
      <c r="A17" s="5">
        <v>16</v>
      </c>
      <c r="B17" s="1" t="s">
        <v>24</v>
      </c>
      <c r="C17" s="1" t="s">
        <v>25</v>
      </c>
      <c r="D17" s="1">
        <v>70000</v>
      </c>
      <c r="E17" s="7" t="s">
        <v>51</v>
      </c>
    </row>
    <row r="18" spans="1:5" x14ac:dyDescent="0.35">
      <c r="A18" s="5">
        <v>17</v>
      </c>
      <c r="B18" s="1" t="s">
        <v>24</v>
      </c>
      <c r="C18" s="1" t="s">
        <v>26</v>
      </c>
      <c r="D18" s="1">
        <v>35000</v>
      </c>
      <c r="E18" s="7" t="s">
        <v>51</v>
      </c>
    </row>
    <row r="19" spans="1:5" x14ac:dyDescent="0.35">
      <c r="A19" s="5">
        <v>18</v>
      </c>
      <c r="B19" s="1" t="s">
        <v>24</v>
      </c>
      <c r="C19" s="1" t="s">
        <v>27</v>
      </c>
      <c r="D19" s="1">
        <v>55000</v>
      </c>
      <c r="E19" s="7" t="s">
        <v>51</v>
      </c>
    </row>
    <row r="20" spans="1:5" x14ac:dyDescent="0.35">
      <c r="A20" s="5">
        <v>19</v>
      </c>
      <c r="B20" s="1" t="s">
        <v>24</v>
      </c>
      <c r="C20" s="1" t="s">
        <v>28</v>
      </c>
      <c r="D20" s="1">
        <v>95000</v>
      </c>
      <c r="E20" s="7" t="s">
        <v>11</v>
      </c>
    </row>
    <row r="21" spans="1:5" x14ac:dyDescent="0.35">
      <c r="A21" s="5">
        <v>20</v>
      </c>
      <c r="B21" s="1" t="s">
        <v>29</v>
      </c>
      <c r="C21" s="1" t="s">
        <v>30</v>
      </c>
      <c r="D21" s="1">
        <v>45000</v>
      </c>
      <c r="E21" s="7" t="s">
        <v>51</v>
      </c>
    </row>
    <row r="22" spans="1:5" x14ac:dyDescent="0.35">
      <c r="A22" s="5">
        <v>21</v>
      </c>
      <c r="B22" s="1" t="s">
        <v>29</v>
      </c>
      <c r="C22" s="1" t="s">
        <v>31</v>
      </c>
      <c r="D22" s="1">
        <v>25000</v>
      </c>
      <c r="E22" s="7" t="s">
        <v>51</v>
      </c>
    </row>
    <row r="23" spans="1:5" x14ac:dyDescent="0.35">
      <c r="A23" s="5">
        <v>22</v>
      </c>
      <c r="B23" s="1" t="s">
        <v>29</v>
      </c>
      <c r="C23" s="1" t="s">
        <v>32</v>
      </c>
      <c r="D23" s="1">
        <v>35000</v>
      </c>
      <c r="E23" s="7" t="s">
        <v>11</v>
      </c>
    </row>
    <row r="24" spans="1:5" x14ac:dyDescent="0.35">
      <c r="A24" s="5">
        <v>23</v>
      </c>
      <c r="B24" s="1" t="s">
        <v>29</v>
      </c>
      <c r="C24" s="1" t="s">
        <v>33</v>
      </c>
      <c r="D24" s="1">
        <v>50000</v>
      </c>
      <c r="E24" s="7" t="s">
        <v>51</v>
      </c>
    </row>
    <row r="25" spans="1:5" x14ac:dyDescent="0.35">
      <c r="A25" s="5">
        <v>24</v>
      </c>
      <c r="B25" s="1" t="s">
        <v>29</v>
      </c>
      <c r="C25" s="1" t="s">
        <v>34</v>
      </c>
      <c r="D25" s="1">
        <v>80000</v>
      </c>
      <c r="E25" s="7" t="s">
        <v>51</v>
      </c>
    </row>
    <row r="26" spans="1:5" x14ac:dyDescent="0.35">
      <c r="A26" s="5">
        <v>25</v>
      </c>
      <c r="B26" s="1" t="s">
        <v>35</v>
      </c>
      <c r="C26" s="1" t="s">
        <v>36</v>
      </c>
      <c r="D26" s="8">
        <v>12000</v>
      </c>
      <c r="E26" s="7" t="s">
        <v>11</v>
      </c>
    </row>
    <row r="27" spans="1:5" x14ac:dyDescent="0.35">
      <c r="A27" s="5">
        <v>26</v>
      </c>
      <c r="B27" s="1" t="s">
        <v>35</v>
      </c>
      <c r="C27" s="1" t="s">
        <v>37</v>
      </c>
      <c r="D27" s="8">
        <v>9000</v>
      </c>
      <c r="E27" s="7" t="s">
        <v>51</v>
      </c>
    </row>
    <row r="28" spans="1:5" x14ac:dyDescent="0.35">
      <c r="A28" s="5">
        <v>27</v>
      </c>
      <c r="B28" s="1" t="s">
        <v>35</v>
      </c>
      <c r="C28" s="1" t="s">
        <v>38</v>
      </c>
      <c r="D28" s="8">
        <v>15000</v>
      </c>
      <c r="E28" s="7" t="s">
        <v>51</v>
      </c>
    </row>
    <row r="29" spans="1:5" x14ac:dyDescent="0.35">
      <c r="A29" s="5">
        <v>28</v>
      </c>
      <c r="B29" s="1" t="s">
        <v>35</v>
      </c>
      <c r="C29" s="1" t="s">
        <v>39</v>
      </c>
      <c r="D29" s="8">
        <v>18000</v>
      </c>
      <c r="E29" s="7" t="s">
        <v>51</v>
      </c>
    </row>
    <row r="30" spans="1:5" x14ac:dyDescent="0.35">
      <c r="A30" s="5">
        <v>29</v>
      </c>
      <c r="B30" s="1" t="s">
        <v>35</v>
      </c>
      <c r="C30" s="1" t="s">
        <v>40</v>
      </c>
      <c r="D30" s="8">
        <v>25000</v>
      </c>
      <c r="E30" s="7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5B6D6-73DD-4FBE-8839-98699C07F84D}">
  <dimension ref="A1:J30"/>
  <sheetViews>
    <sheetView topLeftCell="A18" workbookViewId="0">
      <selection activeCell="I24" sqref="I24"/>
    </sheetView>
  </sheetViews>
  <sheetFormatPr defaultRowHeight="14.5" x14ac:dyDescent="0.35"/>
  <cols>
    <col min="2" max="2" width="13.36328125" customWidth="1"/>
    <col min="4" max="4" width="11.54296875" customWidth="1"/>
    <col min="5" max="5" width="13.1796875" customWidth="1"/>
    <col min="6" max="6" width="10.90625" customWidth="1"/>
    <col min="7" max="7" width="8.7265625" customWidth="1"/>
    <col min="9" max="9" width="23.90625" customWidth="1"/>
  </cols>
  <sheetData>
    <row r="1" spans="1:10" ht="28" x14ac:dyDescent="0.35">
      <c r="A1" s="10" t="s">
        <v>1</v>
      </c>
      <c r="B1" s="10" t="s">
        <v>2</v>
      </c>
      <c r="C1" s="10" t="s">
        <v>41</v>
      </c>
      <c r="D1" s="10" t="s">
        <v>42</v>
      </c>
      <c r="E1" s="10" t="s">
        <v>43</v>
      </c>
      <c r="F1" s="12" t="s">
        <v>53</v>
      </c>
    </row>
    <row r="2" spans="1:10" x14ac:dyDescent="0.35">
      <c r="A2" s="9" t="s">
        <v>4</v>
      </c>
      <c r="B2" s="9" t="s">
        <v>5</v>
      </c>
      <c r="C2" s="9">
        <v>18</v>
      </c>
      <c r="D2" s="9">
        <v>8000</v>
      </c>
      <c r="E2" s="9">
        <f t="shared" ref="E2:E25" si="0">C2*D2</f>
        <v>144000</v>
      </c>
      <c r="F2" s="5" t="str" cm="1">
        <f t="array" ref="F2:F30">IF(D2:D3:D30&gt;10000,"Luxury","Normal")</f>
        <v>Normal</v>
      </c>
      <c r="G2" s="9"/>
    </row>
    <row r="3" spans="1:10" x14ac:dyDescent="0.35">
      <c r="A3" s="9" t="s">
        <v>4</v>
      </c>
      <c r="B3" s="9" t="s">
        <v>6</v>
      </c>
      <c r="C3" s="9">
        <v>12</v>
      </c>
      <c r="D3" s="9">
        <v>25000</v>
      </c>
      <c r="E3" s="9">
        <f t="shared" si="0"/>
        <v>300000</v>
      </c>
      <c r="F3" s="5" t="str">
        <v>Luxury</v>
      </c>
      <c r="G3" s="9"/>
    </row>
    <row r="4" spans="1:10" ht="17.5" customHeight="1" x14ac:dyDescent="0.35">
      <c r="A4" s="9" t="s">
        <v>4</v>
      </c>
      <c r="B4" s="9" t="s">
        <v>7</v>
      </c>
      <c r="C4" s="9">
        <v>20</v>
      </c>
      <c r="D4" s="9">
        <v>18000</v>
      </c>
      <c r="E4" s="9">
        <f t="shared" si="0"/>
        <v>360000</v>
      </c>
      <c r="F4" s="5" t="str">
        <v>Luxury</v>
      </c>
      <c r="G4" s="9"/>
    </row>
    <row r="5" spans="1:10" x14ac:dyDescent="0.35">
      <c r="A5" s="9" t="s">
        <v>4</v>
      </c>
      <c r="B5" s="9" t="s">
        <v>44</v>
      </c>
      <c r="C5" s="9">
        <v>15</v>
      </c>
      <c r="D5" s="9">
        <v>10000</v>
      </c>
      <c r="E5" s="9">
        <f t="shared" si="0"/>
        <v>150000</v>
      </c>
      <c r="F5" s="5" t="str">
        <v>Normal</v>
      </c>
      <c r="G5" s="9"/>
      <c r="I5" s="11" t="s">
        <v>49</v>
      </c>
      <c r="J5" s="5">
        <f>SUM(E2:E30)</f>
        <v>6221500</v>
      </c>
    </row>
    <row r="6" spans="1:10" x14ac:dyDescent="0.35">
      <c r="A6" s="9" t="s">
        <v>4</v>
      </c>
      <c r="B6" s="9" t="s">
        <v>9</v>
      </c>
      <c r="C6" s="9">
        <v>8</v>
      </c>
      <c r="D6" s="9">
        <v>40000</v>
      </c>
      <c r="E6" s="9">
        <f t="shared" si="0"/>
        <v>320000</v>
      </c>
      <c r="F6" s="5" t="str">
        <v>Luxury</v>
      </c>
      <c r="G6" s="9"/>
      <c r="I6" s="11" t="s">
        <v>50</v>
      </c>
      <c r="J6" s="5">
        <f>AVERAGE(E2:E30)</f>
        <v>214534.4827586207</v>
      </c>
    </row>
    <row r="7" spans="1:10" ht="14.5" customHeight="1" x14ac:dyDescent="0.35">
      <c r="A7" s="9" t="s">
        <v>4</v>
      </c>
      <c r="B7" s="9" t="s">
        <v>45</v>
      </c>
      <c r="C7" s="9">
        <v>6</v>
      </c>
      <c r="D7" s="9">
        <v>60000</v>
      </c>
      <c r="E7" s="9">
        <f t="shared" si="0"/>
        <v>360000</v>
      </c>
      <c r="F7" s="5" t="str">
        <v>Luxury</v>
      </c>
      <c r="G7" s="9"/>
      <c r="I7" s="11" t="s">
        <v>52</v>
      </c>
      <c r="J7" s="5">
        <f>COUNTIF(F2:F30,"Luxury")</f>
        <v>21</v>
      </c>
    </row>
    <row r="8" spans="1:10" x14ac:dyDescent="0.35">
      <c r="A8" s="9" t="s">
        <v>13</v>
      </c>
      <c r="B8" s="9" t="s">
        <v>46</v>
      </c>
      <c r="C8" s="9">
        <v>14</v>
      </c>
      <c r="D8" s="9">
        <v>10000</v>
      </c>
      <c r="E8" s="9">
        <f t="shared" si="0"/>
        <v>140000</v>
      </c>
      <c r="F8" s="5" t="str">
        <v>Normal</v>
      </c>
      <c r="G8" s="9"/>
      <c r="I8" s="11"/>
      <c r="J8" s="5"/>
    </row>
    <row r="9" spans="1:10" x14ac:dyDescent="0.35">
      <c r="A9" s="9" t="s">
        <v>13</v>
      </c>
      <c r="B9" s="9" t="s">
        <v>47</v>
      </c>
      <c r="C9" s="9">
        <v>10</v>
      </c>
      <c r="D9" s="9">
        <v>16000</v>
      </c>
      <c r="E9" s="9">
        <f t="shared" si="0"/>
        <v>160000</v>
      </c>
      <c r="F9" s="5" t="str">
        <v>Luxury</v>
      </c>
      <c r="G9" s="9"/>
      <c r="I9" s="11"/>
      <c r="J9" s="5"/>
    </row>
    <row r="10" spans="1:10" x14ac:dyDescent="0.35">
      <c r="A10" s="9" t="s">
        <v>13</v>
      </c>
      <c r="B10" s="9" t="s">
        <v>16</v>
      </c>
      <c r="C10" s="9">
        <v>16</v>
      </c>
      <c r="D10" s="9">
        <v>18000</v>
      </c>
      <c r="E10" s="9">
        <f t="shared" si="0"/>
        <v>288000</v>
      </c>
      <c r="F10" s="5" t="str">
        <v>Luxury</v>
      </c>
      <c r="G10" s="9"/>
      <c r="I10" s="11"/>
      <c r="J10" s="5"/>
    </row>
    <row r="11" spans="1:10" x14ac:dyDescent="0.35">
      <c r="A11" s="9" t="s">
        <v>13</v>
      </c>
      <c r="B11" s="9" t="s">
        <v>17</v>
      </c>
      <c r="C11" s="9">
        <v>5</v>
      </c>
      <c r="D11" s="9">
        <v>45000</v>
      </c>
      <c r="E11" s="9">
        <f t="shared" si="0"/>
        <v>225000</v>
      </c>
      <c r="F11" s="5" t="str">
        <v>Luxury</v>
      </c>
      <c r="G11" s="9"/>
    </row>
    <row r="12" spans="1:10" x14ac:dyDescent="0.35">
      <c r="A12" s="9" t="s">
        <v>18</v>
      </c>
      <c r="B12" s="9" t="s">
        <v>19</v>
      </c>
      <c r="C12" s="9">
        <v>22</v>
      </c>
      <c r="D12" s="9">
        <v>3000</v>
      </c>
      <c r="E12" s="9">
        <f t="shared" si="0"/>
        <v>66000</v>
      </c>
      <c r="F12" s="5" t="str">
        <v>Normal</v>
      </c>
      <c r="G12" s="9"/>
    </row>
    <row r="13" spans="1:10" x14ac:dyDescent="0.35">
      <c r="A13" s="9" t="s">
        <v>18</v>
      </c>
      <c r="B13" s="9" t="s">
        <v>20</v>
      </c>
      <c r="C13" s="9">
        <v>20</v>
      </c>
      <c r="D13" s="9">
        <v>4500</v>
      </c>
      <c r="E13" s="9">
        <f t="shared" si="0"/>
        <v>90000</v>
      </c>
      <c r="F13" s="5" t="str">
        <v>Normal</v>
      </c>
      <c r="G13" s="9"/>
    </row>
    <row r="14" spans="1:10" x14ac:dyDescent="0.35">
      <c r="A14" s="9" t="s">
        <v>18</v>
      </c>
      <c r="B14" s="9" t="s">
        <v>21</v>
      </c>
      <c r="C14" s="9">
        <v>12</v>
      </c>
      <c r="D14" s="9">
        <v>7500</v>
      </c>
      <c r="E14" s="9">
        <f t="shared" si="0"/>
        <v>90000</v>
      </c>
      <c r="F14" s="5" t="str">
        <v>Normal</v>
      </c>
      <c r="G14" s="9"/>
    </row>
    <row r="15" spans="1:10" x14ac:dyDescent="0.35">
      <c r="A15" s="9" t="s">
        <v>18</v>
      </c>
      <c r="B15" s="9" t="s">
        <v>22</v>
      </c>
      <c r="C15" s="9">
        <v>15</v>
      </c>
      <c r="D15" s="9">
        <v>5500</v>
      </c>
      <c r="E15" s="9">
        <f t="shared" si="0"/>
        <v>82500</v>
      </c>
      <c r="F15" s="5" t="str">
        <v>Normal</v>
      </c>
      <c r="G15" s="9"/>
    </row>
    <row r="16" spans="1:10" x14ac:dyDescent="0.35">
      <c r="A16" s="9" t="s">
        <v>24</v>
      </c>
      <c r="B16" s="9" t="s">
        <v>23</v>
      </c>
      <c r="C16" s="9">
        <v>4</v>
      </c>
      <c r="D16" s="9">
        <v>85000</v>
      </c>
      <c r="E16" s="9">
        <f t="shared" si="0"/>
        <v>340000</v>
      </c>
      <c r="F16" s="5" t="str">
        <v>Luxury</v>
      </c>
      <c r="G16" s="9"/>
    </row>
    <row r="17" spans="1:7" x14ac:dyDescent="0.35">
      <c r="A17" s="9" t="s">
        <v>24</v>
      </c>
      <c r="B17" s="9" t="s">
        <v>25</v>
      </c>
      <c r="C17" s="9">
        <v>6</v>
      </c>
      <c r="D17" s="9">
        <v>70000</v>
      </c>
      <c r="E17" s="9">
        <f t="shared" si="0"/>
        <v>420000</v>
      </c>
      <c r="F17" s="5" t="str">
        <v>Luxury</v>
      </c>
      <c r="G17" s="9"/>
    </row>
    <row r="18" spans="1:7" x14ac:dyDescent="0.35">
      <c r="A18" s="9" t="s">
        <v>24</v>
      </c>
      <c r="B18" s="9" t="s">
        <v>26</v>
      </c>
      <c r="C18" s="9">
        <v>9</v>
      </c>
      <c r="D18" s="9">
        <v>35000</v>
      </c>
      <c r="E18" s="9">
        <f t="shared" si="0"/>
        <v>315000</v>
      </c>
      <c r="F18" s="5" t="str">
        <v>Luxury</v>
      </c>
      <c r="G18" s="9"/>
    </row>
    <row r="19" spans="1:7" x14ac:dyDescent="0.35">
      <c r="A19" s="9" t="s">
        <v>24</v>
      </c>
      <c r="B19" s="9" t="s">
        <v>27</v>
      </c>
      <c r="C19" s="9">
        <v>5</v>
      </c>
      <c r="D19" s="9">
        <v>55000</v>
      </c>
      <c r="E19" s="9">
        <f t="shared" si="0"/>
        <v>275000</v>
      </c>
      <c r="F19" s="5" t="str">
        <v>Luxury</v>
      </c>
      <c r="G19" s="9"/>
    </row>
    <row r="20" spans="1:7" x14ac:dyDescent="0.35">
      <c r="A20" s="9" t="s">
        <v>24</v>
      </c>
      <c r="B20" s="9" t="s">
        <v>28</v>
      </c>
      <c r="C20" s="9">
        <v>3</v>
      </c>
      <c r="D20" s="9">
        <v>95000</v>
      </c>
      <c r="E20" s="9">
        <f t="shared" si="0"/>
        <v>285000</v>
      </c>
      <c r="F20" s="5" t="str">
        <v>Luxury</v>
      </c>
      <c r="G20" s="9"/>
    </row>
    <row r="21" spans="1:7" x14ac:dyDescent="0.35">
      <c r="A21" s="9" t="s">
        <v>29</v>
      </c>
      <c r="B21" s="9" t="s">
        <v>30</v>
      </c>
      <c r="C21" s="9">
        <v>7</v>
      </c>
      <c r="D21" s="9">
        <v>45000</v>
      </c>
      <c r="E21" s="9">
        <f t="shared" si="0"/>
        <v>315000</v>
      </c>
      <c r="F21" s="5" t="str">
        <v>Luxury</v>
      </c>
      <c r="G21" s="9"/>
    </row>
    <row r="22" spans="1:7" x14ac:dyDescent="0.35">
      <c r="A22" s="9" t="s">
        <v>29</v>
      </c>
      <c r="B22" s="9" t="s">
        <v>32</v>
      </c>
      <c r="C22" s="9">
        <v>10</v>
      </c>
      <c r="D22" s="9">
        <v>25000</v>
      </c>
      <c r="E22" s="9">
        <f t="shared" si="0"/>
        <v>250000</v>
      </c>
      <c r="F22" s="5" t="str">
        <v>Luxury</v>
      </c>
      <c r="G22" s="9"/>
    </row>
    <row r="23" spans="1:7" x14ac:dyDescent="0.35">
      <c r="A23" s="9" t="s">
        <v>29</v>
      </c>
      <c r="B23" s="9" t="s">
        <v>31</v>
      </c>
      <c r="C23" s="9">
        <v>8</v>
      </c>
      <c r="D23" s="9">
        <v>35000</v>
      </c>
      <c r="E23" s="9">
        <f t="shared" si="0"/>
        <v>280000</v>
      </c>
      <c r="F23" s="5" t="str">
        <v>Luxury</v>
      </c>
      <c r="G23" s="9"/>
    </row>
    <row r="24" spans="1:7" x14ac:dyDescent="0.35">
      <c r="A24" s="9" t="s">
        <v>29</v>
      </c>
      <c r="B24" s="9" t="s">
        <v>48</v>
      </c>
      <c r="C24" s="9">
        <v>6</v>
      </c>
      <c r="D24" s="9">
        <v>50000</v>
      </c>
      <c r="E24" s="9">
        <f t="shared" si="0"/>
        <v>300000</v>
      </c>
      <c r="F24" s="5" t="str">
        <v>Luxury</v>
      </c>
      <c r="G24" s="9"/>
    </row>
    <row r="25" spans="1:7" x14ac:dyDescent="0.35">
      <c r="A25" s="9" t="s">
        <v>29</v>
      </c>
      <c r="B25" s="9" t="s">
        <v>34</v>
      </c>
      <c r="C25" s="9">
        <v>4</v>
      </c>
      <c r="D25" s="9">
        <v>80000</v>
      </c>
      <c r="E25" s="9">
        <f t="shared" si="0"/>
        <v>320000</v>
      </c>
      <c r="F25" s="5" t="str">
        <v>Luxury</v>
      </c>
      <c r="G25" s="9"/>
    </row>
    <row r="26" spans="1:7" x14ac:dyDescent="0.35">
      <c r="A26" s="1" t="s">
        <v>35</v>
      </c>
      <c r="B26" s="1" t="s">
        <v>36</v>
      </c>
      <c r="C26" s="9">
        <v>5</v>
      </c>
      <c r="D26" s="8">
        <v>12000</v>
      </c>
      <c r="E26" s="9">
        <f>C26*D26</f>
        <v>60000</v>
      </c>
      <c r="F26" s="5" t="str">
        <v>Luxury</v>
      </c>
      <c r="G26" s="1"/>
    </row>
    <row r="27" spans="1:7" x14ac:dyDescent="0.35">
      <c r="A27" s="1" t="s">
        <v>35</v>
      </c>
      <c r="B27" s="1" t="s">
        <v>37</v>
      </c>
      <c r="C27" s="9">
        <v>9</v>
      </c>
      <c r="D27" s="8">
        <v>9000</v>
      </c>
      <c r="E27" s="9">
        <f>C27*D27</f>
        <v>81000</v>
      </c>
      <c r="F27" s="5" t="str">
        <v>Normal</v>
      </c>
      <c r="G27" s="1"/>
    </row>
    <row r="28" spans="1:7" x14ac:dyDescent="0.35">
      <c r="A28" s="1" t="s">
        <v>35</v>
      </c>
      <c r="B28" s="1" t="s">
        <v>38</v>
      </c>
      <c r="C28" s="9">
        <v>7</v>
      </c>
      <c r="D28" s="8">
        <v>15000</v>
      </c>
      <c r="E28" s="9">
        <f>C28*D28</f>
        <v>105000</v>
      </c>
      <c r="F28" s="5" t="str">
        <v>Luxury</v>
      </c>
      <c r="G28" s="1"/>
    </row>
    <row r="29" spans="1:7" x14ac:dyDescent="0.35">
      <c r="A29" s="1" t="s">
        <v>35</v>
      </c>
      <c r="B29" s="1" t="s">
        <v>39</v>
      </c>
      <c r="C29" s="9">
        <v>0</v>
      </c>
      <c r="D29" s="8">
        <v>18000</v>
      </c>
      <c r="E29" s="9">
        <f>C29*D29</f>
        <v>0</v>
      </c>
      <c r="F29" s="5" t="str">
        <v>Luxury</v>
      </c>
      <c r="G29" s="1"/>
    </row>
    <row r="30" spans="1:7" x14ac:dyDescent="0.35">
      <c r="A30" s="1" t="s">
        <v>35</v>
      </c>
      <c r="B30" s="1" t="s">
        <v>40</v>
      </c>
      <c r="C30" s="9">
        <v>4</v>
      </c>
      <c r="D30" s="8">
        <v>25000</v>
      </c>
      <c r="E30" s="9">
        <f>C30*D30</f>
        <v>100000</v>
      </c>
      <c r="F30" s="5" t="str">
        <v>Luxury</v>
      </c>
      <c r="G3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CE0A0-4501-4AF9-89DD-C062B50F7982}">
  <dimension ref="A1:E7"/>
  <sheetViews>
    <sheetView tabSelected="1" workbookViewId="0">
      <selection activeCell="B8" sqref="B8"/>
    </sheetView>
  </sheetViews>
  <sheetFormatPr defaultRowHeight="14.5" x14ac:dyDescent="0.35"/>
  <cols>
    <col min="2" max="2" width="18.7265625" customWidth="1"/>
  </cols>
  <sheetData>
    <row r="1" spans="1:5" x14ac:dyDescent="0.35">
      <c r="A1" s="14" t="s">
        <v>1</v>
      </c>
      <c r="B1" s="14" t="s">
        <v>54</v>
      </c>
      <c r="C1" s="16" t="s">
        <v>58</v>
      </c>
      <c r="D1" s="16"/>
      <c r="E1" s="16"/>
    </row>
    <row r="2" spans="1:5" x14ac:dyDescent="0.35">
      <c r="A2" s="5" t="s">
        <v>55</v>
      </c>
      <c r="B2" s="13">
        <f>SUMIF(Calculations!A:A,"Toyota",Calculations!E:E)</f>
        <v>1634000</v>
      </c>
      <c r="C2" s="5"/>
      <c r="D2" s="15" t="s">
        <v>59</v>
      </c>
      <c r="E2" s="15" t="s">
        <v>60</v>
      </c>
    </row>
    <row r="3" spans="1:5" x14ac:dyDescent="0.35">
      <c r="A3" s="5" t="s">
        <v>13</v>
      </c>
      <c r="B3" s="5">
        <f>SUMIF(Calculations!A:A,"Hyundai",Calculations!E:E)</f>
        <v>813000</v>
      </c>
      <c r="C3" s="5"/>
      <c r="D3" s="5" t="s">
        <v>61</v>
      </c>
      <c r="E3" s="5">
        <f>COUNTIF(Calculations!F:F,"Luxury")</f>
        <v>21</v>
      </c>
    </row>
    <row r="4" spans="1:5" x14ac:dyDescent="0.35">
      <c r="A4" s="5" t="s">
        <v>18</v>
      </c>
      <c r="B4" s="5">
        <f>SUMIF(Calculations!A:A,"Suzuki",Calculations!E:E)</f>
        <v>328500</v>
      </c>
      <c r="C4" s="5"/>
      <c r="D4" s="5" t="s">
        <v>62</v>
      </c>
      <c r="E4" s="5">
        <f>COUNTIF(Calculations!F:F,"Normal")</f>
        <v>8</v>
      </c>
    </row>
    <row r="5" spans="1:5" x14ac:dyDescent="0.35">
      <c r="A5" s="5" t="s">
        <v>56</v>
      </c>
      <c r="B5" s="5">
        <f>SUMIF(Calculations!A:A,"bmw",Calculations!E:E)</f>
        <v>1635000</v>
      </c>
      <c r="C5" s="5"/>
      <c r="D5" s="5"/>
      <c r="E5" s="5"/>
    </row>
    <row r="6" spans="1:5" x14ac:dyDescent="0.35">
      <c r="A6" s="5" t="s">
        <v>29</v>
      </c>
      <c r="B6" s="5">
        <f>SUMIF(Calculations!A:A,"Audi",Calculations!E:E)</f>
        <v>1465000</v>
      </c>
      <c r="C6" s="5"/>
      <c r="D6" s="5"/>
      <c r="E6" s="5"/>
    </row>
    <row r="7" spans="1:5" x14ac:dyDescent="0.35">
      <c r="A7" s="5" t="s">
        <v>57</v>
      </c>
      <c r="B7" s="5">
        <v>346000</v>
      </c>
    </row>
  </sheetData>
  <mergeCells count="1">
    <mergeCell ref="C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Calculations</vt:lpstr>
      <vt:lpstr>Summary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2025-12-23T17:43:35Z</dcterms:created>
  <dcterms:modified xsi:type="dcterms:W3CDTF">2025-12-27T09:16:02Z</dcterms:modified>
</cp:coreProperties>
</file>